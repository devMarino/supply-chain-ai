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Dados de Estoque" sheetId="1" state="visible" r:id="rId3"/>
    <sheet name="2. Curva ABC" sheetId="2" state="visible" r:id="rId4"/>
    <sheet name="3. Dashboard Resumo" sheetId="3" state="visible" r:id="rId5"/>
    <sheet name="4. Guia do Projet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<sst xmlns="http://schemas.openxmlformats.org/spreadsheetml/2006/main" count="209" uniqueCount="117">
  <si>
    <t xml:space="preserve">SISTEMA DE ANÁLISE DE SUPRIMENTOS — Dados de Estoque</t>
  </si>
  <si>
    <t xml:space="preserve">Preencha os campos em AZUL. Os demais são calculados automaticamente.</t>
  </si>
  <si>
    <t xml:space="preserve">Código</t>
  </si>
  <si>
    <t xml:space="preserve">Produto</t>
  </si>
  <si>
    <t xml:space="preserve">Categoria</t>
  </si>
  <si>
    <t xml:space="preserve">Qtd/Mês</t>
  </si>
  <si>
    <t xml:space="preserve">Preço Unit (R$)</t>
  </si>
  <si>
    <t xml:space="preserve">Consumo Mensal (R$)</t>
  </si>
  <si>
    <t xml:space="preserve">Consumo Anual (R$)</t>
  </si>
  <si>
    <t xml:space="preserve">Observações</t>
  </si>
  <si>
    <t xml:space="preserve">PRD-001</t>
  </si>
  <si>
    <t xml:space="preserve">Parafuso M8 aço inox</t>
  </si>
  <si>
    <t xml:space="preserve">Fixação</t>
  </si>
  <si>
    <t xml:space="preserve">PRD-002</t>
  </si>
  <si>
    <t xml:space="preserve">Motor elétrico 5cv</t>
  </si>
  <si>
    <t xml:space="preserve">Equipamentos</t>
  </si>
  <si>
    <t xml:space="preserve">PRD-003</t>
  </si>
  <si>
    <t xml:space="preserve">Luva de segurança nitrila</t>
  </si>
  <si>
    <t xml:space="preserve">EPI</t>
  </si>
  <si>
    <t xml:space="preserve">PRD-004</t>
  </si>
  <si>
    <t xml:space="preserve">Chapa de aço 3mm</t>
  </si>
  <si>
    <t xml:space="preserve">Matéria-prima</t>
  </si>
  <si>
    <t xml:space="preserve">PRD-005</t>
  </si>
  <si>
    <t xml:space="preserve">Óleo lubrificante 20L</t>
  </si>
  <si>
    <t xml:space="preserve">Manutenção</t>
  </si>
  <si>
    <t xml:space="preserve">PRD-006</t>
  </si>
  <si>
    <t xml:space="preserve">Filtro de ar comprimido</t>
  </si>
  <si>
    <t xml:space="preserve">PRD-007</t>
  </si>
  <si>
    <t xml:space="preserve">Correia transportadora 5m</t>
  </si>
  <si>
    <t xml:space="preserve">PRD-008</t>
  </si>
  <si>
    <t xml:space="preserve">Embalagem caixas 30x20</t>
  </si>
  <si>
    <t xml:space="preserve">Embalagem</t>
  </si>
  <si>
    <t xml:space="preserve">PRD-009</t>
  </si>
  <si>
    <t xml:space="preserve">Sensor de proximidade</t>
  </si>
  <si>
    <t xml:space="preserve">Automação</t>
  </si>
  <si>
    <t xml:space="preserve">PRD-010</t>
  </si>
  <si>
    <t xml:space="preserve">Cabo elétrico 6mm (m)</t>
  </si>
  <si>
    <t xml:space="preserve">Elétrica</t>
  </si>
  <si>
    <t xml:space="preserve">PRD-011</t>
  </si>
  <si>
    <t xml:space="preserve">Tinta epóxi galão</t>
  </si>
  <si>
    <t xml:space="preserve">PRD-012</t>
  </si>
  <si>
    <t xml:space="preserve">Rolamento 6205</t>
  </si>
  <si>
    <t xml:space="preserve">PRD-013</t>
  </si>
  <si>
    <t xml:space="preserve">PVC rígido 100mm (m)</t>
  </si>
  <si>
    <t xml:space="preserve">Hidráulica</t>
  </si>
  <si>
    <t xml:space="preserve">PRD-014</t>
  </si>
  <si>
    <t xml:space="preserve">Válvula pneumática 1/4</t>
  </si>
  <si>
    <t xml:space="preserve">PRD-015</t>
  </si>
  <si>
    <t xml:space="preserve">Etiqueta adesiva BOPP</t>
  </si>
  <si>
    <t xml:space="preserve">TOTAL GERAL</t>
  </si>
  <si>
    <t xml:space="preserve">LEGENDA:  Azul = campos de entrada (editáveis)   |   Preto = calculado automaticamente</t>
  </si>
  <si>
    <t xml:space="preserve">CURVA ABC — Classificação por Consumo Anual</t>
  </si>
  <si>
    <t xml:space="preserve">Dados importados da aba '1. Dados de Estoque', ordenados manualmente por consumo decrescente.</t>
  </si>
  <si>
    <t xml:space="preserve">Rank</t>
  </si>
  <si>
    <t xml:space="preserve">% do Total</t>
  </si>
  <si>
    <t xml:space="preserve">% Acumulada</t>
  </si>
  <si>
    <t xml:space="preserve">Classe ABC</t>
  </si>
  <si>
    <t xml:space="preserve">Ação Recomendada</t>
  </si>
  <si>
    <t xml:space="preserve">A</t>
  </si>
  <si>
    <t xml:space="preserve">Monitoramento diário — manter estoque mínimo rigoroso</t>
  </si>
  <si>
    <t xml:space="preserve">B</t>
  </si>
  <si>
    <t xml:space="preserve">Revisão semanal — estoque moderado</t>
  </si>
  <si>
    <t xml:space="preserve">C</t>
  </si>
  <si>
    <t xml:space="preserve">Revisão mensal — pode ter estoque mais amplo</t>
  </si>
  <si>
    <t xml:space="preserve">TOTAL</t>
  </si>
  <si>
    <t xml:space="preserve">DASHBOARD — Resumo Gerencial de Suprimentos</t>
  </si>
  <si>
    <t xml:space="preserve">Indicador</t>
  </si>
  <si>
    <t xml:space="preserve">Valor</t>
  </si>
  <si>
    <t xml:space="preserve">Descrição</t>
  </si>
  <si>
    <t xml:space="preserve">Total de itens cadastrados</t>
  </si>
  <si>
    <t xml:space="preserve">Total de SKUs no sistema</t>
  </si>
  <si>
    <t xml:space="preserve">Consumo mensal total (R$)</t>
  </si>
  <si>
    <t xml:space="preserve">Soma de todos os consumos mensais</t>
  </si>
  <si>
    <t xml:space="preserve">Consumo anual total (R$)</t>
  </si>
  <si>
    <t xml:space="preserve">Soma de todos os consumos anuais</t>
  </si>
  <si>
    <t xml:space="preserve">Itens Classe A</t>
  </si>
  <si>
    <t xml:space="preserve">Requerem monitoramento diário</t>
  </si>
  <si>
    <t xml:space="preserve">Itens Classe B</t>
  </si>
  <si>
    <t xml:space="preserve">Requerem revisão semanal</t>
  </si>
  <si>
    <t xml:space="preserve">Itens Classe C</t>
  </si>
  <si>
    <t xml:space="preserve">Requerem revisão mensal</t>
  </si>
  <si>
    <t xml:space="preserve">Gasto com Classe A (R$)</t>
  </si>
  <si>
    <t xml:space="preserve">80% do orçamento de compras</t>
  </si>
  <si>
    <t xml:space="preserve">% gasto com Classe A</t>
  </si>
  <si>
    <t xml:space="preserve">Regra dos 80%</t>
  </si>
  <si>
    <t xml:space="preserve">GASTO POR CATEGORIA</t>
  </si>
  <si>
    <t xml:space="preserve">GUIA DO PROJETO — Como reproduzir em Python</t>
  </si>
  <si>
    <t xml:space="preserve">  ETAPA 1 — Ler os dados  [analise.py]</t>
  </si>
  <si>
    <t xml:space="preserve">    import pandas as pd</t>
  </si>
  <si>
    <t xml:space="preserve">    df = pd.read_excel('dados/compras.xlsx', sheet_name='1. Dados de Estoque')</t>
  </si>
  <si>
    <t xml:space="preserve">    df = df.dropna(subset=['Produto'])</t>
  </si>
  <si>
    <t xml:space="preserve">    print(df.head())</t>
  </si>
  <si>
    <t xml:space="preserve">  ETAPA 2 — Calcular consumo anual  [analise.py]</t>
  </si>
  <si>
    <t xml:space="preserve">    df['consumo_anual'] = df['Qtd/Mes'] * df['Preco Unit (R$)'] * 12</t>
  </si>
  <si>
    <t xml:space="preserve">    total = df['consumo_anual'].sum()</t>
  </si>
  <si>
    <t xml:space="preserve">    print(f'Total anual: R$ {total:,.2f}')</t>
  </si>
  <si>
    <t xml:space="preserve">  ETAPA 3 — Calcular Curva ABC  [analise.py]</t>
  </si>
  <si>
    <t xml:space="preserve">    df = df.sort_values('consumo_anual', ascending=False)</t>
  </si>
  <si>
    <t xml:space="preserve">    df['pct_total'] = df['consumo_anual'] / total * 100</t>
  </si>
  <si>
    <t xml:space="preserve">    df['pct_acum'] = df['pct_total'].cumsum()</t>
  </si>
  <si>
    <t xml:space="preserve">    df['classe'] = df['pct_acum'].apply(</t>
  </si>
  <si>
    <t xml:space="preserve">        lambda x: 'A' if x &lt;= 80 else 'B' if x &lt;= 95 else 'C'</t>
  </si>
  <si>
    <t xml:space="preserve">    )</t>
  </si>
  <si>
    <t xml:space="preserve">  ETAPA 4 — Exportar resultado  [analise.py]</t>
  </si>
  <si>
    <t xml:space="preserve">    df.to_excel('resultado_abc.xlsx', index=False)</t>
  </si>
  <si>
    <t xml:space="preserve">    print('Arquivo salvo!')</t>
  </si>
  <si>
    <t xml:space="preserve">  ETAPA 5 — Chatbot com LLM  [chatbot.py]</t>
  </si>
  <si>
    <t xml:space="preserve">    from openai import OpenAI  # ou google.generativeai</t>
  </si>
  <si>
    <t xml:space="preserve">    cliente = OpenAI()</t>
  </si>
  <si>
    <t xml:space="preserve">    contexto = df.to_string()  # injeta os dados</t>
  </si>
  <si>
    <t xml:space="preserve">    resposta = cliente.chat.completions.create(</t>
  </si>
  <si>
    <t xml:space="preserve">        model='gpt-4o-mini',</t>
  </si>
  <si>
    <t xml:space="preserve">        messages=[</t>
  </si>
  <si>
    <t xml:space="preserve">            {'role':'system','content':f'Dados de estoque:\n{contexto}'},</t>
  </si>
  <si>
    <t xml:space="preserve">            {'role':'user','content':'Quais são os produtos classe A?'}</t>
  </si>
  <si>
    <t xml:space="preserve">        ]</t>
  </si>
  <si>
    <t xml:space="preserve">    print(resposta.choices[0].message.content)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</si>
</sst>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&quot;R$ &quot;#,##0.00"/>
    <numFmt numFmtId="167" formatCode="@"/>
    <numFmt numFmtId="168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70C0"/>
      <name val="Arial"/>
      <family val="0"/>
      <charset val="1"/>
    </font>
    <font>
      <b val="true"/>
      <sz val="10"/>
      <color rgb="FF276221"/>
      <name val="Arial"/>
      <family val="0"/>
      <charset val="1"/>
    </font>
    <font>
      <b val="true"/>
      <sz val="10"/>
      <color rgb="FF9C65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1F3864"/>
      <name val="Courier New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BF3FB"/>
      </patternFill>
    </fill>
    <fill>
      <patternFill patternType="solid">
        <fgColor rgb="FF2E75B6"/>
        <bgColor rgb="FF0070C0"/>
      </patternFill>
    </fill>
    <fill>
      <patternFill patternType="solid">
        <fgColor rgb="FFFFFFFF"/>
        <bgColor rgb="FFF2F2F2"/>
      </patternFill>
    </fill>
    <fill>
      <patternFill patternType="solid">
        <fgColor rgb="FFC6EFCE"/>
        <bgColor rgb="FFD6E4F0"/>
      </patternFill>
    </fill>
    <fill>
      <patternFill patternType="solid">
        <fgColor rgb="FFFFEB9C"/>
        <bgColor rgb="FFF2F2F2"/>
      </patternFill>
    </fill>
    <fill>
      <patternFill patternType="solid">
        <fgColor rgb="FFFFC7CE"/>
        <bgColor rgb="FFFFEB9C"/>
      </patternFill>
    </fill>
    <fill>
      <patternFill patternType="solid">
        <fgColor rgb="FFD6E4F0"/>
        <bgColor rgb="FFC6EFCE"/>
      </patternFill>
    </fill>
    <fill>
      <patternFill patternType="solid">
        <fgColor rgb="FFEBF3FB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3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3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3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3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3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3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2F2F2"/>
      <rgbColor rgb="FFEBF3FB"/>
      <rgbColor rgb="FF660066"/>
      <rgbColor rgb="FFFF8080"/>
      <rgbColor rgb="FF0070C0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7" min="6" style="0" width="20"/>
    <col collapsed="false" customWidth="true" hidden="false" outlineLevel="0" max="8" min="8" style="0" width="25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customFormat="false" ht="15" hidden="false" customHeight="false" outlineLevel="0" collapsed="false">
      <c r="A4" s="4" t="s">
        <v>10</v>
      </c>
      <c r="B4" s="5" t="s">
        <v>11</v>
      </c>
      <c r="C4" s="4" t="s">
        <v>12</v>
      </c>
      <c r="D4" s="6" t="n">
        <v>1200</v>
      </c>
      <c r="E4" s="7" t="n">
        <v>0.85</v>
      </c>
      <c r="F4" s="8" t="n">
        <f aca="false">D4*E4</f>
        <v>1020</v>
      </c>
      <c r="G4" s="8" t="n">
        <f aca="false">F4*12</f>
        <v>12240</v>
      </c>
      <c r="H4" s="5"/>
    </row>
    <row r="5" customFormat="false" ht="15" hidden="false" customHeight="false" outlineLevel="0" collapsed="false">
      <c r="A5" s="9" t="s">
        <v>13</v>
      </c>
      <c r="B5" s="10" t="s">
        <v>14</v>
      </c>
      <c r="C5" s="9" t="s">
        <v>15</v>
      </c>
      <c r="D5" s="11" t="n">
        <v>8</v>
      </c>
      <c r="E5" s="12" t="n">
        <v>1850</v>
      </c>
      <c r="F5" s="13" t="n">
        <f aca="false">D5*E5</f>
        <v>14800</v>
      </c>
      <c r="G5" s="13" t="n">
        <f aca="false">F5*12</f>
        <v>177600</v>
      </c>
      <c r="H5" s="10"/>
    </row>
    <row r="6" customFormat="false" ht="15" hidden="false" customHeight="false" outlineLevel="0" collapsed="false">
      <c r="A6" s="4" t="s">
        <v>16</v>
      </c>
      <c r="B6" s="5" t="s">
        <v>17</v>
      </c>
      <c r="C6" s="4" t="s">
        <v>18</v>
      </c>
      <c r="D6" s="6" t="n">
        <v>450</v>
      </c>
      <c r="E6" s="7" t="n">
        <v>4.2</v>
      </c>
      <c r="F6" s="8" t="n">
        <f aca="false">D6*E6</f>
        <v>1890</v>
      </c>
      <c r="G6" s="8" t="n">
        <f aca="false">F6*12</f>
        <v>22680</v>
      </c>
      <c r="H6" s="5"/>
    </row>
    <row r="7" customFormat="false" ht="15" hidden="false" customHeight="false" outlineLevel="0" collapsed="false">
      <c r="A7" s="9" t="s">
        <v>19</v>
      </c>
      <c r="B7" s="10" t="s">
        <v>20</v>
      </c>
      <c r="C7" s="9" t="s">
        <v>21</v>
      </c>
      <c r="D7" s="11" t="n">
        <v>90</v>
      </c>
      <c r="E7" s="12" t="n">
        <v>320</v>
      </c>
      <c r="F7" s="13" t="n">
        <f aca="false">D7*E7</f>
        <v>28800</v>
      </c>
      <c r="G7" s="13" t="n">
        <f aca="false">F7*12</f>
        <v>345600</v>
      </c>
      <c r="H7" s="10"/>
    </row>
    <row r="8" customFormat="false" ht="15" hidden="false" customHeight="false" outlineLevel="0" collapsed="false">
      <c r="A8" s="4" t="s">
        <v>22</v>
      </c>
      <c r="B8" s="5" t="s">
        <v>23</v>
      </c>
      <c r="C8" s="4" t="s">
        <v>24</v>
      </c>
      <c r="D8" s="6" t="n">
        <v>60</v>
      </c>
      <c r="E8" s="7" t="n">
        <v>145</v>
      </c>
      <c r="F8" s="8" t="n">
        <f aca="false">D8*E8</f>
        <v>8700</v>
      </c>
      <c r="G8" s="8" t="n">
        <f aca="false">F8*12</f>
        <v>104400</v>
      </c>
      <c r="H8" s="5"/>
    </row>
    <row r="9" customFormat="false" ht="15" hidden="false" customHeight="false" outlineLevel="0" collapsed="false">
      <c r="A9" s="9" t="s">
        <v>25</v>
      </c>
      <c r="B9" s="10" t="s">
        <v>26</v>
      </c>
      <c r="C9" s="9" t="s">
        <v>24</v>
      </c>
      <c r="D9" s="11" t="n">
        <v>24</v>
      </c>
      <c r="E9" s="12" t="n">
        <v>89</v>
      </c>
      <c r="F9" s="13" t="n">
        <f aca="false">D9*E9</f>
        <v>2136</v>
      </c>
      <c r="G9" s="13" t="n">
        <f aca="false">F9*12</f>
        <v>25632</v>
      </c>
      <c r="H9" s="10"/>
    </row>
    <row r="10" customFormat="false" ht="15" hidden="false" customHeight="false" outlineLevel="0" collapsed="false">
      <c r="A10" s="4" t="s">
        <v>27</v>
      </c>
      <c r="B10" s="5" t="s">
        <v>28</v>
      </c>
      <c r="C10" s="4" t="s">
        <v>15</v>
      </c>
      <c r="D10" s="6" t="n">
        <v>12</v>
      </c>
      <c r="E10" s="7" t="n">
        <v>780</v>
      </c>
      <c r="F10" s="8" t="n">
        <f aca="false">D10*E10</f>
        <v>9360</v>
      </c>
      <c r="G10" s="8" t="n">
        <f aca="false">F10*12</f>
        <v>112320</v>
      </c>
      <c r="H10" s="5"/>
    </row>
    <row r="11" customFormat="false" ht="15" hidden="false" customHeight="false" outlineLevel="0" collapsed="false">
      <c r="A11" s="9" t="s">
        <v>29</v>
      </c>
      <c r="B11" s="10" t="s">
        <v>30</v>
      </c>
      <c r="C11" s="9" t="s">
        <v>31</v>
      </c>
      <c r="D11" s="11" t="n">
        <v>3000</v>
      </c>
      <c r="E11" s="12" t="n">
        <v>0.65</v>
      </c>
      <c r="F11" s="13" t="n">
        <f aca="false">D11*E11</f>
        <v>1950</v>
      </c>
      <c r="G11" s="13" t="n">
        <f aca="false">F11*12</f>
        <v>23400</v>
      </c>
      <c r="H11" s="10"/>
    </row>
    <row r="12" customFormat="false" ht="15" hidden="false" customHeight="false" outlineLevel="0" collapsed="false">
      <c r="A12" s="4" t="s">
        <v>32</v>
      </c>
      <c r="B12" s="5" t="s">
        <v>33</v>
      </c>
      <c r="C12" s="4" t="s">
        <v>34</v>
      </c>
      <c r="D12" s="6" t="n">
        <v>15</v>
      </c>
      <c r="E12" s="7" t="n">
        <v>210</v>
      </c>
      <c r="F12" s="8" t="n">
        <f aca="false">D12*E12</f>
        <v>3150</v>
      </c>
      <c r="G12" s="8" t="n">
        <f aca="false">F12*12</f>
        <v>37800</v>
      </c>
      <c r="H12" s="5"/>
    </row>
    <row r="13" customFormat="false" ht="15" hidden="false" customHeight="false" outlineLevel="0" collapsed="false">
      <c r="A13" s="9" t="s">
        <v>35</v>
      </c>
      <c r="B13" s="10" t="s">
        <v>36</v>
      </c>
      <c r="C13" s="9" t="s">
        <v>37</v>
      </c>
      <c r="D13" s="11" t="n">
        <v>500</v>
      </c>
      <c r="E13" s="12" t="n">
        <v>8.5</v>
      </c>
      <c r="F13" s="13" t="n">
        <f aca="false">D13*E13</f>
        <v>4250</v>
      </c>
      <c r="G13" s="13" t="n">
        <f aca="false">F13*12</f>
        <v>51000</v>
      </c>
      <c r="H13" s="10"/>
    </row>
    <row r="14" customFormat="false" ht="15" hidden="false" customHeight="false" outlineLevel="0" collapsed="false">
      <c r="A14" s="4" t="s">
        <v>38</v>
      </c>
      <c r="B14" s="5" t="s">
        <v>39</v>
      </c>
      <c r="C14" s="4" t="s">
        <v>24</v>
      </c>
      <c r="D14" s="6" t="n">
        <v>30</v>
      </c>
      <c r="E14" s="7" t="n">
        <v>95</v>
      </c>
      <c r="F14" s="8" t="n">
        <f aca="false">D14*E14</f>
        <v>2850</v>
      </c>
      <c r="G14" s="8" t="n">
        <f aca="false">F14*12</f>
        <v>34200</v>
      </c>
      <c r="H14" s="5"/>
    </row>
    <row r="15" customFormat="false" ht="15" hidden="false" customHeight="false" outlineLevel="0" collapsed="false">
      <c r="A15" s="9" t="s">
        <v>40</v>
      </c>
      <c r="B15" s="10" t="s">
        <v>41</v>
      </c>
      <c r="C15" s="9" t="s">
        <v>24</v>
      </c>
      <c r="D15" s="11" t="n">
        <v>40</v>
      </c>
      <c r="E15" s="12" t="n">
        <v>42</v>
      </c>
      <c r="F15" s="13" t="n">
        <f aca="false">D15*E15</f>
        <v>1680</v>
      </c>
      <c r="G15" s="13" t="n">
        <f aca="false">F15*12</f>
        <v>20160</v>
      </c>
      <c r="H15" s="10"/>
    </row>
    <row r="16" customFormat="false" ht="15" hidden="false" customHeight="false" outlineLevel="0" collapsed="false">
      <c r="A16" s="4" t="s">
        <v>42</v>
      </c>
      <c r="B16" s="5" t="s">
        <v>43</v>
      </c>
      <c r="C16" s="4" t="s">
        <v>44</v>
      </c>
      <c r="D16" s="6" t="n">
        <v>80</v>
      </c>
      <c r="E16" s="7" t="n">
        <v>18</v>
      </c>
      <c r="F16" s="8" t="n">
        <f aca="false">D16*E16</f>
        <v>1440</v>
      </c>
      <c r="G16" s="8" t="n">
        <f aca="false">F16*12</f>
        <v>17280</v>
      </c>
      <c r="H16" s="5"/>
    </row>
    <row r="17" customFormat="false" ht="15" hidden="false" customHeight="false" outlineLevel="0" collapsed="false">
      <c r="A17" s="9" t="s">
        <v>45</v>
      </c>
      <c r="B17" s="10" t="s">
        <v>46</v>
      </c>
      <c r="C17" s="9" t="s">
        <v>44</v>
      </c>
      <c r="D17" s="11" t="n">
        <v>10</v>
      </c>
      <c r="E17" s="12" t="n">
        <v>340</v>
      </c>
      <c r="F17" s="13" t="n">
        <f aca="false">D17*E17</f>
        <v>3400</v>
      </c>
      <c r="G17" s="13" t="n">
        <f aca="false">F17*12</f>
        <v>40800</v>
      </c>
      <c r="H17" s="10"/>
    </row>
    <row r="18" customFormat="false" ht="15" hidden="false" customHeight="false" outlineLevel="0" collapsed="false">
      <c r="A18" s="4" t="s">
        <v>47</v>
      </c>
      <c r="B18" s="5" t="s">
        <v>48</v>
      </c>
      <c r="C18" s="4" t="s">
        <v>31</v>
      </c>
      <c r="D18" s="6" t="n">
        <v>10000</v>
      </c>
      <c r="E18" s="7" t="n">
        <v>0.12</v>
      </c>
      <c r="F18" s="8" t="n">
        <f aca="false">D18*E18</f>
        <v>1200</v>
      </c>
      <c r="G18" s="8" t="n">
        <f aca="false">F18*12</f>
        <v>14400</v>
      </c>
      <c r="H18" s="5"/>
    </row>
    <row r="19" customFormat="false" ht="15" hidden="false" customHeight="true" outlineLevel="0" collapsed="false">
      <c r="A19" s="14" t="s">
        <v>49</v>
      </c>
      <c r="B19" s="14"/>
      <c r="C19" s="14"/>
      <c r="D19" s="14"/>
      <c r="E19" s="14"/>
      <c r="F19" s="15" t="n">
        <f aca="false">SUM(F4:F18)</f>
        <v>86626</v>
      </c>
      <c r="G19" s="15" t="n">
        <f aca="false">SUM(G4:G18)</f>
        <v>1039512</v>
      </c>
      <c r="H19" s="16"/>
    </row>
    <row r="21" customFormat="false" ht="15" hidden="false" customHeight="false" outlineLevel="0" collapsed="false">
      <c r="A21" s="17" t="s">
        <v>50</v>
      </c>
      <c r="B21" s="17"/>
      <c r="C21" s="17"/>
      <c r="D21" s="17"/>
      <c r="E21" s="17"/>
      <c r="F21" s="17"/>
      <c r="G21" s="17"/>
      <c r="H21" s="17"/>
    </row>
  </sheetData>
  <mergeCells count="4">
    <mergeCell ref="A1:H1"/>
    <mergeCell ref="A2:H2"/>
    <mergeCell ref="A19:E19"/>
    <mergeCell ref="A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42"/>
  </cols>
  <sheetData>
    <row r="1" customFormat="false" ht="30" hidden="false" customHeight="true" outlineLevel="0" collapsed="false">
      <c r="A1" s="1" t="s">
        <v>51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52</v>
      </c>
      <c r="B2" s="2"/>
      <c r="C2" s="2"/>
      <c r="D2" s="2"/>
      <c r="E2" s="2"/>
      <c r="F2" s="2"/>
      <c r="G2" s="2"/>
      <c r="H2" s="2"/>
      <c r="I2" s="2"/>
    </row>
    <row r="3" customFormat="false" ht="27.75" hidden="false" customHeight="true" outlineLevel="0" collapsed="false">
      <c r="A3" s="3" t="s">
        <v>53</v>
      </c>
      <c r="B3" s="3" t="s">
        <v>2</v>
      </c>
      <c r="C3" s="3" t="s">
        <v>3</v>
      </c>
      <c r="D3" s="3" t="s">
        <v>4</v>
      </c>
      <c r="E3" s="3" t="s">
        <v>8</v>
      </c>
      <c r="F3" s="3" t="s">
        <v>54</v>
      </c>
      <c r="G3" s="3" t="s">
        <v>55</v>
      </c>
      <c r="H3" s="3" t="s">
        <v>56</v>
      </c>
      <c r="I3" s="3" t="s">
        <v>57</v>
      </c>
    </row>
    <row r="4" customFormat="false" ht="15" hidden="false" customHeight="false" outlineLevel="0" collapsed="false">
      <c r="A4" s="18" t="n">
        <v>1</v>
      </c>
      <c r="B4" s="19" t="s">
        <v>19</v>
      </c>
      <c r="C4" s="19" t="s">
        <v>20</v>
      </c>
      <c r="D4" s="19" t="s">
        <v>21</v>
      </c>
      <c r="E4" s="8" t="n">
        <v>345600</v>
      </c>
      <c r="F4" s="20" t="n">
        <v>0.332463694502805</v>
      </c>
      <c r="G4" s="20" t="n">
        <v>0.332463694502805</v>
      </c>
      <c r="H4" s="21" t="s">
        <v>58</v>
      </c>
      <c r="I4" s="19" t="s">
        <v>59</v>
      </c>
    </row>
    <row r="5" customFormat="false" ht="15" hidden="false" customHeight="false" outlineLevel="0" collapsed="false">
      <c r="A5" s="22" t="n">
        <v>2</v>
      </c>
      <c r="B5" s="23" t="s">
        <v>13</v>
      </c>
      <c r="C5" s="23" t="s">
        <v>14</v>
      </c>
      <c r="D5" s="23" t="s">
        <v>15</v>
      </c>
      <c r="E5" s="13" t="n">
        <v>177600</v>
      </c>
      <c r="F5" s="24" t="n">
        <v>0.170849398563942</v>
      </c>
      <c r="G5" s="24" t="n">
        <v>0.503313093066747</v>
      </c>
      <c r="H5" s="21" t="s">
        <v>58</v>
      </c>
      <c r="I5" s="23" t="s">
        <v>59</v>
      </c>
    </row>
    <row r="6" customFormat="false" ht="15" hidden="false" customHeight="false" outlineLevel="0" collapsed="false">
      <c r="A6" s="18" t="n">
        <v>3</v>
      </c>
      <c r="B6" s="19" t="s">
        <v>27</v>
      </c>
      <c r="C6" s="19" t="s">
        <v>28</v>
      </c>
      <c r="D6" s="19" t="s">
        <v>15</v>
      </c>
      <c r="E6" s="8" t="n">
        <v>112320</v>
      </c>
      <c r="F6" s="20" t="n">
        <v>0.108050700713412</v>
      </c>
      <c r="G6" s="20" t="n">
        <v>0.611363793780158</v>
      </c>
      <c r="H6" s="21" t="s">
        <v>58</v>
      </c>
      <c r="I6" s="19" t="s">
        <v>59</v>
      </c>
    </row>
    <row r="7" customFormat="false" ht="15" hidden="false" customHeight="false" outlineLevel="0" collapsed="false">
      <c r="A7" s="22" t="n">
        <v>4</v>
      </c>
      <c r="B7" s="23" t="s">
        <v>22</v>
      </c>
      <c r="C7" s="23" t="s">
        <v>23</v>
      </c>
      <c r="D7" s="23" t="s">
        <v>24</v>
      </c>
      <c r="E7" s="13" t="n">
        <v>104400</v>
      </c>
      <c r="F7" s="24" t="n">
        <v>0.100431741047722</v>
      </c>
      <c r="G7" s="24" t="n">
        <v>0.711795534827881</v>
      </c>
      <c r="H7" s="21" t="s">
        <v>58</v>
      </c>
      <c r="I7" s="23" t="s">
        <v>59</v>
      </c>
    </row>
    <row r="8" customFormat="false" ht="15" hidden="false" customHeight="false" outlineLevel="0" collapsed="false">
      <c r="A8" s="18" t="n">
        <v>5</v>
      </c>
      <c r="B8" s="19" t="s">
        <v>35</v>
      </c>
      <c r="C8" s="19" t="s">
        <v>36</v>
      </c>
      <c r="D8" s="19" t="s">
        <v>37</v>
      </c>
      <c r="E8" s="8" t="n">
        <v>51000</v>
      </c>
      <c r="F8" s="20" t="n">
        <v>0.0490614826957265</v>
      </c>
      <c r="G8" s="20" t="n">
        <v>0.760857017523607</v>
      </c>
      <c r="H8" s="21" t="s">
        <v>58</v>
      </c>
      <c r="I8" s="19" t="s">
        <v>59</v>
      </c>
    </row>
    <row r="9" customFormat="false" ht="15" hidden="false" customHeight="false" outlineLevel="0" collapsed="false">
      <c r="A9" s="22" t="n">
        <v>6</v>
      </c>
      <c r="B9" s="23" t="s">
        <v>45</v>
      </c>
      <c r="C9" s="23" t="s">
        <v>46</v>
      </c>
      <c r="D9" s="23" t="s">
        <v>44</v>
      </c>
      <c r="E9" s="13" t="n">
        <v>40800</v>
      </c>
      <c r="F9" s="24" t="n">
        <v>0.0392491861565812</v>
      </c>
      <c r="G9" s="24" t="n">
        <v>0.800106203680188</v>
      </c>
      <c r="H9" s="25" t="s">
        <v>60</v>
      </c>
      <c r="I9" s="23" t="s">
        <v>61</v>
      </c>
    </row>
    <row r="10" customFormat="false" ht="15" hidden="false" customHeight="false" outlineLevel="0" collapsed="false">
      <c r="A10" s="18" t="n">
        <v>7</v>
      </c>
      <c r="B10" s="19" t="s">
        <v>32</v>
      </c>
      <c r="C10" s="19" t="s">
        <v>33</v>
      </c>
      <c r="D10" s="19" t="s">
        <v>34</v>
      </c>
      <c r="E10" s="8" t="n">
        <v>37800</v>
      </c>
      <c r="F10" s="20" t="n">
        <v>0.0363632165862443</v>
      </c>
      <c r="G10" s="20" t="n">
        <v>0.836469420266433</v>
      </c>
      <c r="H10" s="25" t="s">
        <v>60</v>
      </c>
      <c r="I10" s="19" t="s">
        <v>61</v>
      </c>
    </row>
    <row r="11" customFormat="false" ht="15" hidden="false" customHeight="false" outlineLevel="0" collapsed="false">
      <c r="A11" s="22" t="n">
        <v>8</v>
      </c>
      <c r="B11" s="23" t="s">
        <v>38</v>
      </c>
      <c r="C11" s="23" t="s">
        <v>39</v>
      </c>
      <c r="D11" s="23" t="s">
        <v>24</v>
      </c>
      <c r="E11" s="13" t="n">
        <v>34200</v>
      </c>
      <c r="F11" s="24" t="n">
        <v>0.0329000531018401</v>
      </c>
      <c r="G11" s="24" t="n">
        <v>0.869369473368273</v>
      </c>
      <c r="H11" s="25" t="s">
        <v>60</v>
      </c>
      <c r="I11" s="23" t="s">
        <v>61</v>
      </c>
    </row>
    <row r="12" customFormat="false" ht="15" hidden="false" customHeight="false" outlineLevel="0" collapsed="false">
      <c r="A12" s="18" t="n">
        <v>9</v>
      </c>
      <c r="B12" s="19" t="s">
        <v>25</v>
      </c>
      <c r="C12" s="19" t="s">
        <v>26</v>
      </c>
      <c r="D12" s="19" t="s">
        <v>24</v>
      </c>
      <c r="E12" s="8" t="n">
        <v>25632</v>
      </c>
      <c r="F12" s="20" t="n">
        <v>0.0246577240089581</v>
      </c>
      <c r="G12" s="20" t="n">
        <v>0.894027197377231</v>
      </c>
      <c r="H12" s="25" t="s">
        <v>60</v>
      </c>
      <c r="I12" s="19" t="s">
        <v>61</v>
      </c>
    </row>
    <row r="13" customFormat="false" ht="15" hidden="false" customHeight="false" outlineLevel="0" collapsed="false">
      <c r="A13" s="22" t="n">
        <v>10</v>
      </c>
      <c r="B13" s="23" t="s">
        <v>29</v>
      </c>
      <c r="C13" s="23" t="s">
        <v>30</v>
      </c>
      <c r="D13" s="23" t="s">
        <v>31</v>
      </c>
      <c r="E13" s="13" t="n">
        <v>23400</v>
      </c>
      <c r="F13" s="24" t="n">
        <v>0.0225105626486274</v>
      </c>
      <c r="G13" s="24" t="n">
        <v>0.916537760025858</v>
      </c>
      <c r="H13" s="25" t="s">
        <v>60</v>
      </c>
      <c r="I13" s="23" t="s">
        <v>61</v>
      </c>
    </row>
    <row r="14" customFormat="false" ht="15" hidden="false" customHeight="false" outlineLevel="0" collapsed="false">
      <c r="A14" s="18" t="n">
        <v>11</v>
      </c>
      <c r="B14" s="19" t="s">
        <v>16</v>
      </c>
      <c r="C14" s="19" t="s">
        <v>17</v>
      </c>
      <c r="D14" s="19" t="s">
        <v>18</v>
      </c>
      <c r="E14" s="8" t="n">
        <v>22680</v>
      </c>
      <c r="F14" s="20" t="n">
        <v>0.0218179299517466</v>
      </c>
      <c r="G14" s="20" t="n">
        <v>0.938355689977605</v>
      </c>
      <c r="H14" s="25" t="s">
        <v>60</v>
      </c>
      <c r="I14" s="19" t="s">
        <v>61</v>
      </c>
    </row>
    <row r="15" customFormat="false" ht="15" hidden="false" customHeight="false" outlineLevel="0" collapsed="false">
      <c r="A15" s="22" t="n">
        <v>12</v>
      </c>
      <c r="B15" s="23" t="s">
        <v>40</v>
      </c>
      <c r="C15" s="23" t="s">
        <v>41</v>
      </c>
      <c r="D15" s="23" t="s">
        <v>24</v>
      </c>
      <c r="E15" s="13" t="n">
        <v>20160</v>
      </c>
      <c r="F15" s="24" t="n">
        <v>0.0193937155126636</v>
      </c>
      <c r="G15" s="24" t="n">
        <v>0.957749405490269</v>
      </c>
      <c r="H15" s="26" t="s">
        <v>62</v>
      </c>
      <c r="I15" s="23" t="s">
        <v>63</v>
      </c>
    </row>
    <row r="16" customFormat="false" ht="15" hidden="false" customHeight="false" outlineLevel="0" collapsed="false">
      <c r="A16" s="18" t="n">
        <v>13</v>
      </c>
      <c r="B16" s="19" t="s">
        <v>42</v>
      </c>
      <c r="C16" s="19" t="s">
        <v>43</v>
      </c>
      <c r="D16" s="19" t="s">
        <v>44</v>
      </c>
      <c r="E16" s="8" t="n">
        <v>17280</v>
      </c>
      <c r="F16" s="20" t="n">
        <v>0.0166231847251403</v>
      </c>
      <c r="G16" s="20" t="n">
        <v>0.974372590215409</v>
      </c>
      <c r="H16" s="26" t="s">
        <v>62</v>
      </c>
      <c r="I16" s="19" t="s">
        <v>63</v>
      </c>
    </row>
    <row r="17" customFormat="false" ht="15" hidden="false" customHeight="false" outlineLevel="0" collapsed="false">
      <c r="A17" s="22" t="n">
        <v>14</v>
      </c>
      <c r="B17" s="23" t="s">
        <v>47</v>
      </c>
      <c r="C17" s="23" t="s">
        <v>48</v>
      </c>
      <c r="D17" s="23" t="s">
        <v>31</v>
      </c>
      <c r="E17" s="13" t="n">
        <v>14400</v>
      </c>
      <c r="F17" s="24" t="n">
        <v>0.0138526539376169</v>
      </c>
      <c r="G17" s="24" t="n">
        <v>0.988225244153026</v>
      </c>
      <c r="H17" s="26" t="s">
        <v>62</v>
      </c>
      <c r="I17" s="23" t="s">
        <v>63</v>
      </c>
    </row>
    <row r="18" customFormat="false" ht="15" hidden="false" customHeight="false" outlineLevel="0" collapsed="false">
      <c r="A18" s="18" t="n">
        <v>15</v>
      </c>
      <c r="B18" s="19" t="s">
        <v>10</v>
      </c>
      <c r="C18" s="19" t="s">
        <v>11</v>
      </c>
      <c r="D18" s="19" t="s">
        <v>12</v>
      </c>
      <c r="E18" s="8" t="n">
        <v>12240</v>
      </c>
      <c r="F18" s="20" t="n">
        <v>0.0117747558469744</v>
      </c>
      <c r="G18" s="20" t="n">
        <v>1</v>
      </c>
      <c r="H18" s="26" t="s">
        <v>62</v>
      </c>
      <c r="I18" s="19" t="s">
        <v>63</v>
      </c>
    </row>
    <row r="19" customFormat="false" ht="15" hidden="false" customHeight="true" outlineLevel="0" collapsed="false">
      <c r="A19" s="14" t="s">
        <v>64</v>
      </c>
      <c r="B19" s="14"/>
      <c r="C19" s="14"/>
      <c r="D19" s="14"/>
      <c r="E19" s="15" t="n">
        <f aca="false">SUM(E4:E18)</f>
        <v>1039512</v>
      </c>
      <c r="F19" s="27" t="n">
        <f aca="false">SUM(F4:F18)</f>
        <v>1</v>
      </c>
      <c r="G19" s="28"/>
      <c r="H19" s="16"/>
      <c r="I19" s="16"/>
    </row>
  </sheetData>
  <mergeCells count="3">
    <mergeCell ref="A1:I1"/>
    <mergeCell ref="A2:I2"/>
    <mergeCell ref="A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5" min="4" style="0" width="15"/>
  </cols>
  <sheetData>
    <row r="1" customFormat="false" ht="30" hidden="false" customHeight="true" outlineLevel="0" collapsed="false">
      <c r="A1" s="1" t="s">
        <v>65</v>
      </c>
      <c r="B1" s="1"/>
      <c r="C1" s="1"/>
      <c r="D1" s="1"/>
      <c r="E1" s="1"/>
      <c r="F1" s="1"/>
    </row>
    <row r="3" customFormat="false" ht="15" hidden="false" customHeight="false" outlineLevel="0" collapsed="false">
      <c r="B3" s="3" t="s">
        <v>66</v>
      </c>
      <c r="C3" s="3" t="s">
        <v>67</v>
      </c>
      <c r="D3" s="3" t="s">
        <v>68</v>
      </c>
    </row>
    <row r="4" customFormat="false" ht="15" hidden="false" customHeight="false" outlineLevel="0" collapsed="false">
      <c r="B4" s="29" t="s">
        <v>69</v>
      </c>
      <c r="C4" s="30" t="n">
        <f aca="false">COUNTA('1. Dados de Estoque'!B4:B18)</f>
        <v>15</v>
      </c>
      <c r="D4" s="31" t="s">
        <v>70</v>
      </c>
    </row>
    <row r="5" customFormat="false" ht="15" hidden="false" customHeight="false" outlineLevel="0" collapsed="false">
      <c r="B5" s="29" t="s">
        <v>71</v>
      </c>
      <c r="C5" s="32" t="n">
        <f aca="false">SUM('1. Dados de Estoque'!F4:F18)</f>
        <v>86626</v>
      </c>
      <c r="D5" s="31" t="s">
        <v>72</v>
      </c>
    </row>
    <row r="6" customFormat="false" ht="15" hidden="false" customHeight="false" outlineLevel="0" collapsed="false">
      <c r="B6" s="29" t="s">
        <v>73</v>
      </c>
      <c r="C6" s="32" t="n">
        <f aca="false">SUM('1. Dados de Estoque'!G4:G18)</f>
        <v>1039512</v>
      </c>
      <c r="D6" s="31" t="s">
        <v>74</v>
      </c>
    </row>
    <row r="7" customFormat="false" ht="15" hidden="false" customHeight="false" outlineLevel="0" collapsed="false">
      <c r="B7" s="33" t="s">
        <v>75</v>
      </c>
      <c r="C7" s="34" t="n">
        <f aca="false">COUNTIF('2. Curva ABC'!H4:H18,"A")</f>
        <v>5</v>
      </c>
      <c r="D7" s="31" t="s">
        <v>76</v>
      </c>
    </row>
    <row r="8" customFormat="false" ht="15" hidden="false" customHeight="false" outlineLevel="0" collapsed="false">
      <c r="B8" s="35" t="s">
        <v>77</v>
      </c>
      <c r="C8" s="36" t="n">
        <f aca="false">COUNTIF('2. Curva ABC'!H4:H18,"B")</f>
        <v>6</v>
      </c>
      <c r="D8" s="31" t="s">
        <v>78</v>
      </c>
    </row>
    <row r="9" customFormat="false" ht="15" hidden="false" customHeight="false" outlineLevel="0" collapsed="false">
      <c r="B9" s="37" t="s">
        <v>79</v>
      </c>
      <c r="C9" s="38" t="n">
        <f aca="false">COUNTIF('2. Curva ABC'!H4:H18,"C")</f>
        <v>4</v>
      </c>
      <c r="D9" s="31" t="s">
        <v>80</v>
      </c>
    </row>
    <row r="10" customFormat="false" ht="15" hidden="false" customHeight="false" outlineLevel="0" collapsed="false">
      <c r="B10" s="33" t="s">
        <v>81</v>
      </c>
      <c r="C10" s="39" t="n">
        <f aca="false">SUMIF('2. Curva ABC'!H4:H18,"A",'2. Curva ABC'!E4:E18)</f>
        <v>790920</v>
      </c>
      <c r="D10" s="31" t="s">
        <v>82</v>
      </c>
    </row>
    <row r="11" customFormat="false" ht="15" hidden="false" customHeight="false" outlineLevel="0" collapsed="false">
      <c r="B11" s="33" t="s">
        <v>83</v>
      </c>
      <c r="C11" s="40" t="n">
        <f aca="false">SUMIF('2. Curva ABC'!H4:H18,"A",'2. Curva ABC'!E4:E18)/SUM('2. Curva ABC'!E4:E18)</f>
        <v>0.760857017523607</v>
      </c>
      <c r="D11" s="31" t="s">
        <v>84</v>
      </c>
    </row>
    <row r="14" customFormat="false" ht="15" hidden="false" customHeight="true" outlineLevel="0" collapsed="false">
      <c r="B14" s="14" t="s">
        <v>85</v>
      </c>
      <c r="C14" s="14"/>
      <c r="D14" s="14"/>
      <c r="E14" s="16"/>
    </row>
    <row r="15" customFormat="false" ht="15" hidden="false" customHeight="false" outlineLevel="0" collapsed="false">
      <c r="B15" s="3" t="s">
        <v>4</v>
      </c>
      <c r="C15" s="3" t="s">
        <v>8</v>
      </c>
      <c r="D15" s="3" t="s">
        <v>54</v>
      </c>
    </row>
    <row r="16" customFormat="false" ht="15" hidden="false" customHeight="false" outlineLevel="0" collapsed="false">
      <c r="B16" s="5" t="s">
        <v>34</v>
      </c>
      <c r="C16" s="8" t="n">
        <v>37800</v>
      </c>
      <c r="D16" s="20" t="n">
        <v>0.0363632165862443</v>
      </c>
    </row>
    <row r="17" customFormat="false" ht="15" hidden="false" customHeight="false" outlineLevel="0" collapsed="false">
      <c r="B17" s="10" t="s">
        <v>18</v>
      </c>
      <c r="C17" s="13" t="n">
        <v>22680</v>
      </c>
      <c r="D17" s="24" t="n">
        <v>0.0218179299517466</v>
      </c>
    </row>
    <row r="18" customFormat="false" ht="15" hidden="false" customHeight="false" outlineLevel="0" collapsed="false">
      <c r="B18" s="5" t="s">
        <v>37</v>
      </c>
      <c r="C18" s="8" t="n">
        <v>51000</v>
      </c>
      <c r="D18" s="20" t="n">
        <v>0.0490614826957265</v>
      </c>
    </row>
    <row r="19" customFormat="false" ht="15" hidden="false" customHeight="false" outlineLevel="0" collapsed="false">
      <c r="B19" s="10" t="s">
        <v>31</v>
      </c>
      <c r="C19" s="13" t="n">
        <v>37800</v>
      </c>
      <c r="D19" s="24" t="n">
        <v>0.0363632165862443</v>
      </c>
    </row>
    <row r="20" customFormat="false" ht="15" hidden="false" customHeight="false" outlineLevel="0" collapsed="false">
      <c r="B20" s="5" t="s">
        <v>15</v>
      </c>
      <c r="C20" s="8" t="n">
        <v>289920</v>
      </c>
      <c r="D20" s="20" t="n">
        <v>0.278900099277353</v>
      </c>
    </row>
    <row r="21" customFormat="false" ht="15" hidden="false" customHeight="false" outlineLevel="0" collapsed="false">
      <c r="B21" s="10" t="s">
        <v>12</v>
      </c>
      <c r="C21" s="13" t="n">
        <v>12240</v>
      </c>
      <c r="D21" s="24" t="n">
        <v>0.0117747558469744</v>
      </c>
    </row>
    <row r="22" customFormat="false" ht="15" hidden="false" customHeight="false" outlineLevel="0" collapsed="false">
      <c r="B22" s="5" t="s">
        <v>44</v>
      </c>
      <c r="C22" s="8" t="n">
        <v>58080</v>
      </c>
      <c r="D22" s="20" t="n">
        <v>0.0558723708817214</v>
      </c>
    </row>
    <row r="23" customFormat="false" ht="15" hidden="false" customHeight="false" outlineLevel="0" collapsed="false">
      <c r="B23" s="10" t="s">
        <v>24</v>
      </c>
      <c r="C23" s="13" t="n">
        <v>184392</v>
      </c>
      <c r="D23" s="24" t="n">
        <v>0.177383233671184</v>
      </c>
    </row>
    <row r="24" customFormat="false" ht="15" hidden="false" customHeight="false" outlineLevel="0" collapsed="false">
      <c r="B24" s="5" t="s">
        <v>21</v>
      </c>
      <c r="C24" s="8" t="n">
        <v>345600</v>
      </c>
      <c r="D24" s="20" t="n">
        <v>0.332463694502805</v>
      </c>
    </row>
  </sheetData>
  <mergeCells count="2">
    <mergeCell ref="A1:F1"/>
    <mergeCell ref="B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5" min="2" style="0" width="20"/>
  </cols>
  <sheetData>
    <row r="1" customFormat="false" ht="30" hidden="false" customHeight="true" outlineLevel="0" collapsed="false">
      <c r="A1" s="1" t="s">
        <v>86</v>
      </c>
      <c r="B1" s="1"/>
      <c r="C1" s="1"/>
      <c r="D1" s="1"/>
      <c r="E1" s="1"/>
    </row>
    <row r="3" customFormat="false" ht="24" hidden="false" customHeight="true" outlineLevel="0" collapsed="false">
      <c r="A3" s="41" t="s">
        <v>87</v>
      </c>
      <c r="B3" s="41"/>
      <c r="C3" s="41"/>
      <c r="D3" s="41"/>
      <c r="E3" s="41"/>
    </row>
    <row r="4" customFormat="false" ht="15.75" hidden="false" customHeight="true" outlineLevel="0" collapsed="false">
      <c r="A4" s="42" t="s">
        <v>88</v>
      </c>
      <c r="B4" s="42"/>
      <c r="C4" s="42"/>
      <c r="D4" s="42"/>
      <c r="E4" s="42"/>
    </row>
    <row r="5" customFormat="false" ht="15.75" hidden="false" customHeight="true" outlineLevel="0" collapsed="false">
      <c r="A5" s="42" t="s">
        <v>89</v>
      </c>
      <c r="B5" s="42"/>
      <c r="C5" s="42"/>
      <c r="D5" s="42"/>
      <c r="E5" s="42"/>
    </row>
    <row r="6" customFormat="false" ht="15.75" hidden="false" customHeight="true" outlineLevel="0" collapsed="false">
      <c r="A6" s="42" t="s">
        <v>90</v>
      </c>
      <c r="B6" s="42"/>
      <c r="C6" s="42"/>
      <c r="D6" s="42"/>
      <c r="E6" s="42"/>
    </row>
    <row r="7" customFormat="false" ht="15.75" hidden="false" customHeight="true" outlineLevel="0" collapsed="false">
      <c r="A7" s="42" t="s">
        <v>91</v>
      </c>
      <c r="B7" s="42"/>
      <c r="C7" s="42"/>
      <c r="D7" s="42"/>
      <c r="E7" s="42"/>
    </row>
    <row r="9" customFormat="false" ht="24" hidden="false" customHeight="true" outlineLevel="0" collapsed="false">
      <c r="A9" s="41" t="s">
        <v>92</v>
      </c>
      <c r="B9" s="41"/>
      <c r="C9" s="41"/>
      <c r="D9" s="41"/>
      <c r="E9" s="41"/>
    </row>
    <row r="10" customFormat="false" ht="15.75" hidden="false" customHeight="true" outlineLevel="0" collapsed="false">
      <c r="A10" s="42" t="s">
        <v>93</v>
      </c>
      <c r="B10" s="42"/>
      <c r="C10" s="42"/>
      <c r="D10" s="42"/>
      <c r="E10" s="42"/>
    </row>
    <row r="11" customFormat="false" ht="15.75" hidden="false" customHeight="true" outlineLevel="0" collapsed="false">
      <c r="A11" s="42" t="s">
        <v>94</v>
      </c>
      <c r="B11" s="42"/>
      <c r="C11" s="42"/>
      <c r="D11" s="42"/>
      <c r="E11" s="42"/>
    </row>
    <row r="12" customFormat="false" ht="15.75" hidden="false" customHeight="true" outlineLevel="0" collapsed="false">
      <c r="A12" s="42" t="s">
        <v>95</v>
      </c>
      <c r="B12" s="42"/>
      <c r="C12" s="42"/>
      <c r="D12" s="42"/>
      <c r="E12" s="42"/>
    </row>
    <row r="14" customFormat="false" ht="24" hidden="false" customHeight="true" outlineLevel="0" collapsed="false">
      <c r="A14" s="41" t="s">
        <v>96</v>
      </c>
      <c r="B14" s="41"/>
      <c r="C14" s="41"/>
      <c r="D14" s="41"/>
      <c r="E14" s="41"/>
    </row>
    <row r="15" customFormat="false" ht="15.75" hidden="false" customHeight="true" outlineLevel="0" collapsed="false">
      <c r="A15" s="42" t="s">
        <v>97</v>
      </c>
      <c r="B15" s="42"/>
      <c r="C15" s="42"/>
      <c r="D15" s="42"/>
      <c r="E15" s="42"/>
    </row>
    <row r="16" customFormat="false" ht="15.75" hidden="false" customHeight="true" outlineLevel="0" collapsed="false">
      <c r="A16" s="42" t="s">
        <v>98</v>
      </c>
      <c r="B16" s="42"/>
      <c r="C16" s="42"/>
      <c r="D16" s="42"/>
      <c r="E16" s="42"/>
    </row>
    <row r="17" customFormat="false" ht="15.75" hidden="false" customHeight="true" outlineLevel="0" collapsed="false">
      <c r="A17" s="42" t="s">
        <v>99</v>
      </c>
      <c r="B17" s="42"/>
      <c r="C17" s="42"/>
      <c r="D17" s="42"/>
      <c r="E17" s="42"/>
    </row>
    <row r="18" customFormat="false" ht="15.75" hidden="false" customHeight="true" outlineLevel="0" collapsed="false">
      <c r="A18" s="42" t="s">
        <v>100</v>
      </c>
      <c r="B18" s="42"/>
      <c r="C18" s="42"/>
      <c r="D18" s="42"/>
      <c r="E18" s="42"/>
    </row>
    <row r="19" customFormat="false" ht="15.75" hidden="false" customHeight="true" outlineLevel="0" collapsed="false">
      <c r="A19" s="42" t="s">
        <v>101</v>
      </c>
      <c r="B19" s="42"/>
      <c r="C19" s="42"/>
      <c r="D19" s="42"/>
      <c r="E19" s="42"/>
    </row>
    <row r="20" customFormat="false" ht="15.75" hidden="false" customHeight="true" outlineLevel="0" collapsed="false">
      <c r="A20" s="42" t="s">
        <v>102</v>
      </c>
      <c r="B20" s="42"/>
      <c r="C20" s="42"/>
      <c r="D20" s="42"/>
      <c r="E20" s="42"/>
    </row>
    <row r="22" customFormat="false" ht="24" hidden="false" customHeight="true" outlineLevel="0" collapsed="false">
      <c r="A22" s="41" t="s">
        <v>103</v>
      </c>
      <c r="B22" s="41"/>
      <c r="C22" s="41"/>
      <c r="D22" s="41"/>
      <c r="E22" s="41"/>
    </row>
    <row r="23" customFormat="false" ht="15.75" hidden="false" customHeight="true" outlineLevel="0" collapsed="false">
      <c r="A23" s="42" t="s">
        <v>104</v>
      </c>
      <c r="B23" s="42"/>
      <c r="C23" s="42"/>
      <c r="D23" s="42"/>
      <c r="E23" s="42"/>
    </row>
    <row r="24" customFormat="false" ht="15.75" hidden="false" customHeight="true" outlineLevel="0" collapsed="false">
      <c r="A24" s="42" t="s">
        <v>105</v>
      </c>
      <c r="B24" s="42"/>
      <c r="C24" s="42"/>
      <c r="D24" s="42"/>
      <c r="E24" s="42"/>
    </row>
    <row r="26" customFormat="false" ht="24" hidden="false" customHeight="true" outlineLevel="0" collapsed="false">
      <c r="A26" s="41" t="s">
        <v>106</v>
      </c>
      <c r="B26" s="41"/>
      <c r="C26" s="41"/>
      <c r="D26" s="41"/>
      <c r="E26" s="41"/>
    </row>
    <row r="27" customFormat="false" ht="15.75" hidden="false" customHeight="true" outlineLevel="0" collapsed="false">
      <c r="A27" s="42" t="s">
        <v>107</v>
      </c>
      <c r="B27" s="42"/>
      <c r="C27" s="42"/>
      <c r="D27" s="42"/>
      <c r="E27" s="42"/>
    </row>
    <row r="28" customFormat="false" ht="15.75" hidden="false" customHeight="true" outlineLevel="0" collapsed="false">
      <c r="A28" s="42" t="s">
        <v>108</v>
      </c>
      <c r="B28" s="42"/>
      <c r="C28" s="42"/>
      <c r="D28" s="42"/>
      <c r="E28" s="42"/>
    </row>
    <row r="29" customFormat="false" ht="15.75" hidden="false" customHeight="true" outlineLevel="0" collapsed="false">
      <c r="A29" s="42" t="s">
        <v>109</v>
      </c>
      <c r="B29" s="42"/>
      <c r="C29" s="42"/>
      <c r="D29" s="42"/>
      <c r="E29" s="42"/>
    </row>
    <row r="30" customFormat="false" ht="15.75" hidden="false" customHeight="true" outlineLevel="0" collapsed="false">
      <c r="A30" s="42" t="s">
        <v>110</v>
      </c>
      <c r="B30" s="42"/>
      <c r="C30" s="42"/>
      <c r="D30" s="42"/>
      <c r="E30" s="42"/>
    </row>
    <row r="31" customFormat="false" ht="15.75" hidden="false" customHeight="true" outlineLevel="0" collapsed="false">
      <c r="A31" s="42" t="s">
        <v>111</v>
      </c>
      <c r="B31" s="42"/>
      <c r="C31" s="42"/>
      <c r="D31" s="42"/>
      <c r="E31" s="42"/>
    </row>
    <row r="32" customFormat="false" ht="15.75" hidden="false" customHeight="true" outlineLevel="0" collapsed="false">
      <c r="A32" s="42" t="s">
        <v>112</v>
      </c>
      <c r="B32" s="42"/>
      <c r="C32" s="42"/>
      <c r="D32" s="42"/>
      <c r="E32" s="42"/>
    </row>
    <row r="33" customFormat="false" ht="15.75" hidden="false" customHeight="true" outlineLevel="0" collapsed="false">
      <c r="A33" s="42" t="s">
        <v>113</v>
      </c>
      <c r="B33" s="42"/>
      <c r="C33" s="42"/>
      <c r="D33" s="42"/>
      <c r="E33" s="42"/>
    </row>
    <row r="34" customFormat="false" ht="15.75" hidden="false" customHeight="true" outlineLevel="0" collapsed="false">
      <c r="A34" s="42" t="s">
        <v>114</v>
      </c>
      <c r="B34" s="42"/>
      <c r="C34" s="42"/>
      <c r="D34" s="42"/>
      <c r="E34" s="42"/>
    </row>
    <row r="35" customFormat="false" ht="15.75" hidden="false" customHeight="true" outlineLevel="0" collapsed="false">
      <c r="A35" s="42" t="s">
        <v>115</v>
      </c>
      <c r="B35" s="42"/>
      <c r="C35" s="42"/>
      <c r="D35" s="42"/>
      <c r="E35" s="42"/>
    </row>
    <row r="36" customFormat="false" ht="15.75" hidden="false" customHeight="true" outlineLevel="0" collapsed="false">
      <c r="A36" s="42" t="s">
        <v>102</v>
      </c>
      <c r="B36" s="42"/>
      <c r="C36" s="42"/>
      <c r="D36" s="42"/>
      <c r="E36" s="42"/>
    </row>
    <row r="37" customFormat="false" ht="15.75" hidden="false" customHeight="true" outlineLevel="0" collapsed="false">
      <c r="A37" s="42" t="s">
        <v>116</v>
      </c>
      <c r="B37" s="42"/>
      <c r="C37" s="42"/>
      <c r="D37" s="42"/>
      <c r="E37" s="42"/>
    </row>
  </sheetData>
  <mergeCells count="32">
    <mergeCell ref="A1:E1"/>
    <mergeCell ref="A3:E3"/>
    <mergeCell ref="A4:E4"/>
    <mergeCell ref="A5:E5"/>
    <mergeCell ref="A6:E6"/>
    <mergeCell ref="A7:E7"/>
    <mergeCell ref="A9:E9"/>
    <mergeCell ref="A10:E10"/>
    <mergeCell ref="A11:E11"/>
    <mergeCell ref="A12:E12"/>
    <mergeCell ref="A14:E14"/>
    <mergeCell ref="A15:E15"/>
    <mergeCell ref="A16:E16"/>
    <mergeCell ref="A17:E17"/>
    <mergeCell ref="A18:E18"/>
    <mergeCell ref="A19:E19"/>
    <mergeCell ref="A20:E20"/>
    <mergeCell ref="A22:E22"/>
    <mergeCell ref="A23:E23"/>
    <mergeCell ref="A24:E24"/>
    <mergeCell ref="A26:E26"/>
    <mergeCell ref="A27:E27"/>
    <mergeCell ref="A28:E28"/>
    <mergeCell ref="A29:E29"/>
    <mergeCell ref="A30:E30"/>
    <mergeCell ref="A31:E31"/>
    <mergeCell ref="A32:E32"/>
    <mergeCell ref="A33:E33"/>
    <mergeCell ref="A34:E34"/>
    <mergeCell ref="A35:E35"/>
    <mergeCell ref="A36:E36"/>
    <mergeCell ref="A37:E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2026-03-17T21:54:45Z</dcterms:created>
  <dc:creator>openpyxl</dc:creator>
  <dc:description/>
  <dc:language>en-US</dc:language>
  <cp:lastModifiedBy/>
  <dcterms:modified xsi:type="dcterms:W3CDTF">2026-03-17T21:54:45Z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